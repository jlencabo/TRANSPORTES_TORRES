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LE\OneDrive - Brother\git\TRANSPORTES_TORRES\EXCEL_PTOUCH\"/>
    </mc:Choice>
  </mc:AlternateContent>
  <xr:revisionPtr revIDLastSave="1" documentId="11_A0DBA9F8DF12598EEEFD82FF151AB350FBF87F98" xr6:coauthVersionLast="41" xr6:coauthVersionMax="41" xr10:uidLastSave="{45C2417F-7DF6-4752-A34E-B9FBE8C2DAC6}"/>
  <bookViews>
    <workbookView xWindow="-120" yWindow="-120" windowWidth="29040" windowHeight="15840" xr2:uid="{00000000-000D-0000-FFFF-FFFF00000000}"/>
  </bookViews>
  <sheets>
    <sheet name="Etique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9" i="1" l="1"/>
  <c r="M19" i="1" s="1"/>
  <c r="L18" i="1"/>
  <c r="M18" i="1" s="1"/>
  <c r="L17" i="1"/>
  <c r="M17" i="1" s="1"/>
  <c r="L16" i="1"/>
  <c r="M16" i="1" s="1"/>
  <c r="L15" i="1"/>
  <c r="M15" i="1" s="1"/>
  <c r="L14" i="1"/>
  <c r="M14" i="1" s="1"/>
  <c r="L13" i="1"/>
  <c r="M13" i="1" s="1"/>
  <c r="M12" i="1" l="1"/>
  <c r="L11" i="1" l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</calcChain>
</file>

<file path=xl/sharedStrings.xml><?xml version="1.0" encoding="utf-8"?>
<sst xmlns="http://schemas.openxmlformats.org/spreadsheetml/2006/main" count="37" uniqueCount="34">
  <si>
    <t>FECHA</t>
  </si>
  <si>
    <t>CLIENTE</t>
  </si>
  <si>
    <t>ORDEN</t>
  </si>
  <si>
    <t>TORRES</t>
  </si>
  <si>
    <t>CODIGOS</t>
  </si>
  <si>
    <t>INFORTISA</t>
  </si>
  <si>
    <t>0000024301</t>
  </si>
  <si>
    <t>0000023678</t>
  </si>
  <si>
    <t>Kinyo, S.L.</t>
  </si>
  <si>
    <t>0000023895</t>
  </si>
  <si>
    <t>HERMIDA</t>
  </si>
  <si>
    <t>0000056271</t>
  </si>
  <si>
    <t>INGRAM MICRO</t>
  </si>
  <si>
    <t>0000061763</t>
  </si>
  <si>
    <t>ESPRINET</t>
  </si>
  <si>
    <t>0000067118</t>
  </si>
  <si>
    <t>TECH DATA</t>
  </si>
  <si>
    <t>0000070123</t>
  </si>
  <si>
    <t>Distribuciones Mylar, SAU</t>
  </si>
  <si>
    <t>0000064386</t>
  </si>
  <si>
    <t>INFORPOR</t>
  </si>
  <si>
    <t>0000023742</t>
  </si>
  <si>
    <t>UFP</t>
  </si>
  <si>
    <t>0000064848</t>
  </si>
  <si>
    <t>ESCRIBANO LEVANTE</t>
  </si>
  <si>
    <t>0000063496</t>
  </si>
  <si>
    <t>INFORHOUSE</t>
  </si>
  <si>
    <t>FECHAS</t>
  </si>
  <si>
    <t>&lt;</t>
  </si>
  <si>
    <t>&gt;</t>
  </si>
  <si>
    <t>9200022516</t>
  </si>
  <si>
    <t xml:space="preserve">TECNOLOGIAS PLEXUS </t>
  </si>
  <si>
    <t>9200022700</t>
  </si>
  <si>
    <t>HALCOURIER ORENSE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</si>
</sst>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1" fillId="2" borderId="4" xfId="0" applyFont="1" applyFill="1" applyBorder="1" applyAlignment="1">
      <alignment horizontal="right"/>
    </xf>
    <xf numFmtId="0" fontId="2" fillId="2" borderId="0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3" fillId="0" borderId="0" xfId="0" applyFont="1"/>
    <xf numFmtId="0" fontId="2" fillId="0" borderId="1" xfId="0" applyFont="1" applyBorder="1"/>
    <xf numFmtId="0" fontId="4" fillId="4" borderId="0" xfId="0" applyFont="1" applyFill="1"/>
    <xf numFmtId="0" fontId="4" fillId="4" borderId="1" xfId="0" applyFont="1" applyFill="1" applyBorder="1"/>
    <xf numFmtId="0" fontId="2" fillId="0" borderId="1" xfId="0" applyFont="1" applyBorder="1" applyProtection="1">
      <protection locked="0"/>
    </xf>
    <xf numFmtId="0" fontId="2" fillId="3" borderId="1" xfId="0" applyNumberFormat="1" applyFont="1" applyFill="1" applyBorder="1" applyProtection="1">
      <protection locked="0"/>
    </xf>
    <xf numFmtId="49" fontId="2" fillId="0" borderId="1" xfId="0" applyNumberFormat="1" applyFont="1" applyBorder="1" applyProtection="1">
      <protection locked="0"/>
    </xf>
    <xf numFmtId="14" fontId="2" fillId="0" borderId="1" xfId="0" applyNumberFormat="1" applyFont="1" applyBorder="1"/>
    <xf numFmtId="0" fontId="2" fillId="5" borderId="1" xfId="0" applyFont="1" applyFill="1" applyBorder="1"/>
    <xf numFmtId="14" fontId="2" fillId="0" borderId="1" xfId="0" applyNumberFormat="1" applyFont="1" applyBorder="1" applyProtection="1">
      <protection locked="0"/>
    </xf>
    <xf numFmtId="14" fontId="2" fillId="5" borderId="1" xfId="0" applyNumberFormat="1" applyFont="1" applyFill="1" applyBorder="1" applyProtection="1">
      <protection locked="0"/>
    </xf>
    <xf numFmtId="14" fontId="2" fillId="0" borderId="0" xfId="0" applyNumberFormat="1" applyFont="1"/>
    <xf numFmtId="0" fontId="2" fillId="0" borderId="0" xfId="0" applyFont="1" applyBorder="1"/>
    <xf numFmtId="22" fontId="2" fillId="5" borderId="1" xfId="0" applyNumberFormat="1" applyFont="1" applyFill="1" applyBorder="1"/>
    <xf numFmtId="14" fontId="2" fillId="6" borderId="1" xfId="0" applyNumberFormat="1" applyFont="1" applyFill="1" applyBorder="1"/>
    <xf numFmtId="0" fontId="2" fillId="6" borderId="1" xfId="0" applyFont="1" applyFill="1" applyBorder="1"/>
    <xf numFmtId="14" fontId="2" fillId="7" borderId="1" xfId="0" applyNumberFormat="1" applyFont="1" applyFill="1" applyBorder="1"/>
    <xf numFmtId="0" fontId="2" fillId="7" borderId="1" xfId="0" applyFont="1" applyFill="1" applyBorder="1"/>
    <xf numFmtId="0" fontId="4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104775</xdr:rowOff>
        </xdr:from>
        <xdr:to>
          <xdr:col>3</xdr:col>
          <xdr:colOff>19050</xdr:colOff>
          <xdr:row>8</xdr:row>
          <xdr:rowOff>57150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21"/>
  <sheetViews>
    <sheetView tabSelected="1" workbookViewId="0">
      <selection activeCell="I4" sqref="I4"/>
    </sheetView>
  </sheetViews>
  <sheetFormatPr baseColWidth="10" defaultRowHeight="18.75" x14ac:dyDescent="0.3"/>
  <cols>
    <col min="1" max="1" width="15.85546875" style="1" customWidth="1"/>
    <col min="2" max="2" width="12.85546875" style="1" customWidth="1"/>
    <col min="3" max="3" width="24.28515625" style="1" customWidth="1"/>
    <col min="4" max="4" width="1.28515625" style="1" customWidth="1"/>
    <col min="5" max="5" width="4.5703125" style="1" customWidth="1"/>
    <col min="6" max="6" width="17.140625" style="1" customWidth="1"/>
    <col min="7" max="7" width="31.140625" style="1" customWidth="1"/>
    <col min="8" max="8" width="4" style="1" customWidth="1"/>
    <col min="9" max="9" width="11.42578125" style="1"/>
    <col min="10" max="10" width="3.42578125" style="1" customWidth="1"/>
    <col min="11" max="11" width="2.5703125" style="1" bestFit="1" customWidth="1"/>
    <col min="12" max="12" width="14.7109375" style="1" bestFit="1" customWidth="1"/>
    <col min="13" max="13" width="15.140625" style="1" bestFit="1" customWidth="1"/>
    <col min="14" max="14" width="2.5703125" style="1" bestFit="1" customWidth="1"/>
    <col min="15" max="15" width="12.5703125" style="1" customWidth="1"/>
    <col min="16" max="16384" width="11.42578125" style="1"/>
  </cols>
  <sheetData>
    <row r="1" spans="1:14" ht="23.25" x14ac:dyDescent="0.35">
      <c r="A1" s="12" t="s">
        <v>3</v>
      </c>
    </row>
    <row r="3" spans="1:14" x14ac:dyDescent="0.3">
      <c r="B3" s="2"/>
      <c r="C3" s="10"/>
      <c r="D3" s="3"/>
      <c r="F3" s="14" t="s">
        <v>4</v>
      </c>
      <c r="G3" s="14" t="s">
        <v>1</v>
      </c>
      <c r="I3" s="15" t="s">
        <v>2</v>
      </c>
      <c r="J3" s="24"/>
      <c r="L3" s="30" t="s">
        <v>27</v>
      </c>
      <c r="M3" s="30"/>
    </row>
    <row r="4" spans="1:14" x14ac:dyDescent="0.3">
      <c r="B4" s="8" t="s">
        <v>0</v>
      </c>
      <c r="C4" s="21">
        <v>43693</v>
      </c>
      <c r="D4" s="5"/>
      <c r="F4" s="18" t="s">
        <v>7</v>
      </c>
      <c r="G4" s="18" t="s">
        <v>8</v>
      </c>
      <c r="I4" s="13">
        <v>1</v>
      </c>
      <c r="J4" s="24"/>
      <c r="L4" s="19">
        <f>L12-8</f>
        <v>43633.42328703704</v>
      </c>
      <c r="M4" s="13" t="str">
        <f t="shared" ref="M4:M11" si="0">TEXT(L4, "DDDD")</f>
        <v>lunes</v>
      </c>
    </row>
    <row r="5" spans="1:14" x14ac:dyDescent="0.3">
      <c r="B5" s="8" t="s">
        <v>1</v>
      </c>
      <c r="C5" s="16" t="s">
        <v>15</v>
      </c>
      <c r="D5" s="5"/>
      <c r="F5" s="18" t="s">
        <v>9</v>
      </c>
      <c r="G5" s="18" t="s">
        <v>10</v>
      </c>
      <c r="I5" s="13">
        <v>2</v>
      </c>
      <c r="J5" s="24"/>
      <c r="L5" s="19">
        <f>L12-7</f>
        <v>43634.42328703704</v>
      </c>
      <c r="M5" s="13" t="str">
        <f t="shared" si="0"/>
        <v>martes</v>
      </c>
    </row>
    <row r="6" spans="1:14" x14ac:dyDescent="0.3">
      <c r="B6" s="8" t="s">
        <v>2</v>
      </c>
      <c r="C6" s="17">
        <v>1</v>
      </c>
      <c r="D6" s="5"/>
      <c r="F6" s="18" t="s">
        <v>6</v>
      </c>
      <c r="G6" s="18" t="s">
        <v>5</v>
      </c>
      <c r="I6" s="13">
        <v>3</v>
      </c>
      <c r="J6" s="24"/>
      <c r="L6" s="19">
        <f>L12-6</f>
        <v>43635.42328703704</v>
      </c>
      <c r="M6" s="13" t="str">
        <f t="shared" si="0"/>
        <v>miércoles</v>
      </c>
    </row>
    <row r="7" spans="1:14" x14ac:dyDescent="0.3">
      <c r="B7" s="4"/>
      <c r="C7" s="9"/>
      <c r="D7" s="5"/>
      <c r="F7" s="18" t="s">
        <v>11</v>
      </c>
      <c r="G7" s="18" t="s">
        <v>12</v>
      </c>
      <c r="I7" s="13">
        <v>4</v>
      </c>
      <c r="J7" s="24"/>
      <c r="L7" s="19">
        <f>L12-5</f>
        <v>43636.42328703704</v>
      </c>
      <c r="M7" s="13" t="str">
        <f t="shared" si="0"/>
        <v>jueves</v>
      </c>
    </row>
    <row r="8" spans="1:14" x14ac:dyDescent="0.3">
      <c r="B8" s="4"/>
      <c r="C8" s="9"/>
      <c r="D8" s="5"/>
      <c r="F8" s="18" t="s">
        <v>13</v>
      </c>
      <c r="G8" s="18" t="s">
        <v>14</v>
      </c>
      <c r="I8" s="13">
        <v>5</v>
      </c>
      <c r="J8" s="24"/>
      <c r="L8" s="19">
        <f>L12-4</f>
        <v>43637.42328703704</v>
      </c>
      <c r="M8" s="13" t="str">
        <f t="shared" si="0"/>
        <v>viernes</v>
      </c>
    </row>
    <row r="9" spans="1:14" x14ac:dyDescent="0.3">
      <c r="B9" s="6"/>
      <c r="C9" s="11"/>
      <c r="D9" s="7"/>
      <c r="F9" s="18" t="s">
        <v>15</v>
      </c>
      <c r="G9" s="18" t="s">
        <v>16</v>
      </c>
      <c r="I9" s="13">
        <v>6</v>
      </c>
      <c r="J9" s="24"/>
      <c r="L9" s="19">
        <f>L12-3</f>
        <v>43638.42328703704</v>
      </c>
      <c r="M9" s="13" t="str">
        <f t="shared" si="0"/>
        <v>sábado</v>
      </c>
    </row>
    <row r="10" spans="1:14" x14ac:dyDescent="0.3">
      <c r="F10" s="18" t="s">
        <v>17</v>
      </c>
      <c r="G10" s="18" t="s">
        <v>18</v>
      </c>
      <c r="I10" s="13">
        <v>7</v>
      </c>
      <c r="J10" s="24"/>
      <c r="L10" s="26">
        <f>L12-2</f>
        <v>43639.42328703704</v>
      </c>
      <c r="M10" s="27" t="str">
        <f t="shared" si="0"/>
        <v>domingo</v>
      </c>
    </row>
    <row r="11" spans="1:14" x14ac:dyDescent="0.3">
      <c r="F11" s="18" t="s">
        <v>19</v>
      </c>
      <c r="G11" s="18" t="s">
        <v>20</v>
      </c>
      <c r="I11" s="13">
        <v>8</v>
      </c>
      <c r="J11" s="24"/>
      <c r="L11" s="28">
        <f>L12-1</f>
        <v>43640.42328703704</v>
      </c>
      <c r="M11" s="29" t="str">
        <f t="shared" si="0"/>
        <v>lunes</v>
      </c>
    </row>
    <row r="12" spans="1:14" x14ac:dyDescent="0.3">
      <c r="F12" s="18" t="s">
        <v>21</v>
      </c>
      <c r="G12" s="18" t="s">
        <v>22</v>
      </c>
      <c r="I12" s="13">
        <v>9</v>
      </c>
      <c r="J12" s="24"/>
      <c r="K12" s="25" t="s">
        <v>28</v>
      </c>
      <c r="L12" s="22">
        <v>43641.42328703704</v>
      </c>
      <c r="M12" s="20" t="str">
        <f>TEXT(L12, "DDDD")</f>
        <v>martes</v>
      </c>
      <c r="N12" s="20" t="s">
        <v>29</v>
      </c>
    </row>
    <row r="13" spans="1:14" x14ac:dyDescent="0.3">
      <c r="F13" s="18" t="s">
        <v>23</v>
      </c>
      <c r="G13" s="18" t="s">
        <v>24</v>
      </c>
      <c r="L13" s="28">
        <f>$L$12+1</f>
        <v>43642.42328703704</v>
      </c>
      <c r="M13" s="29" t="str">
        <f>TEXT(L13, "DDDD")</f>
        <v>miércoles</v>
      </c>
    </row>
    <row r="14" spans="1:14" x14ac:dyDescent="0.3">
      <c r="F14" s="18" t="s">
        <v>25</v>
      </c>
      <c r="G14" s="18" t="s">
        <v>26</v>
      </c>
      <c r="L14" s="26">
        <f>$L$12+3</f>
        <v>43644.42328703704</v>
      </c>
      <c r="M14" s="27" t="str">
        <f t="shared" ref="M14:M19" si="1">TEXT(L14, "DDDD")</f>
        <v>viernes</v>
      </c>
    </row>
    <row r="15" spans="1:14" x14ac:dyDescent="0.3">
      <c r="F15" s="18" t="s">
        <v>30</v>
      </c>
      <c r="G15" s="18" t="s">
        <v>31</v>
      </c>
      <c r="L15" s="19">
        <f>$L$12+4</f>
        <v>43645.42328703704</v>
      </c>
      <c r="M15" s="13" t="str">
        <f t="shared" si="1"/>
        <v>sábado</v>
      </c>
    </row>
    <row r="16" spans="1:14" x14ac:dyDescent="0.3">
      <c r="F16" s="18" t="s">
        <v>32</v>
      </c>
      <c r="G16" s="18" t="s">
        <v>33</v>
      </c>
      <c r="L16" s="19">
        <f>$L$12+5</f>
        <v>43646.42328703704</v>
      </c>
      <c r="M16" s="13" t="str">
        <f t="shared" si="1"/>
        <v>domingo</v>
      </c>
    </row>
    <row r="17" spans="6:13" x14ac:dyDescent="0.3">
      <c r="F17" s="18"/>
      <c r="G17" s="18"/>
      <c r="L17" s="19">
        <f>$L$12+6</f>
        <v>43647.42328703704</v>
      </c>
      <c r="M17" s="13" t="str">
        <f t="shared" si="1"/>
        <v>lunes</v>
      </c>
    </row>
    <row r="18" spans="6:13" x14ac:dyDescent="0.3">
      <c r="F18" s="18"/>
      <c r="G18" s="18"/>
      <c r="L18" s="19">
        <f>$L$12+7</f>
        <v>43648.42328703704</v>
      </c>
      <c r="M18" s="13" t="str">
        <f t="shared" si="1"/>
        <v>martes</v>
      </c>
    </row>
    <row r="19" spans="6:13" x14ac:dyDescent="0.3">
      <c r="F19" s="18"/>
      <c r="G19" s="18"/>
      <c r="L19" s="19">
        <f>$L$12+8</f>
        <v>43649.42328703704</v>
      </c>
      <c r="M19" s="13" t="str">
        <f t="shared" si="1"/>
        <v>miércoles</v>
      </c>
    </row>
    <row r="20" spans="6:13" x14ac:dyDescent="0.3">
      <c r="F20" s="18"/>
      <c r="G20" s="18"/>
      <c r="L20" s="23"/>
    </row>
    <row r="21" spans="6:13" x14ac:dyDescent="0.3">
      <c r="F21" s="18"/>
      <c r="G21" s="18"/>
    </row>
  </sheetData>
  <mergeCells count="1">
    <mergeCell ref="L3:M3"/>
  </mergeCells>
  <dataValidations count="1">
    <dataValidation type="whole" allowBlank="1" showInputMessage="1" showErrorMessage="1" promptTitle="Orden del día" prompt="Numero entre 1 y 9" sqref="C6" xr:uid="{00000000-0002-0000-0000-000000000000}">
      <formula1>1</formula1>
      <formula2>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autoPict="0" r:id="rId5">
            <anchor moveWithCells="1">
              <from>
                <xdr:col>2</xdr:col>
                <xdr:colOff>0</xdr:colOff>
                <xdr:row>6</xdr:row>
                <xdr:rowOff>104775</xdr:rowOff>
              </from>
              <to>
                <xdr:col>3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Etiqueta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Encabo (BES)</dc:creator>
  <cp:lastModifiedBy>José L. Encabo</cp:lastModifiedBy>
  <cp:lastPrinted>2018-08-27T11:10:47Z</cp:lastPrinted>
  <dcterms:created xsi:type="dcterms:W3CDTF">2018-08-23T07:12:32Z</dcterms:created>
  <dcterms:modified xsi:type="dcterms:W3CDTF">2019-08-21T15:27:10Z</dcterms:modified>
</cp:coreProperties>
</file>